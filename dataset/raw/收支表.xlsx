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明细表" sheetId="1" r:id="rId4"/>
    <sheet state="visible" name="成本表" sheetId="2" r:id="rId5"/>
    <sheet state="visible" name="利润表" sheetId="3" r:id="rId6"/>
  </sheets>
  <definedNames/>
  <calcPr/>
</workbook>
</file>

<file path=xl/sharedStrings.xml><?xml version="1.0" encoding="utf-8"?>
<sst xmlns="http://schemas.openxmlformats.org/spreadsheetml/2006/main" count="253" uniqueCount="74">
  <si>
    <t>月份</t>
  </si>
  <si>
    <t>团队</t>
  </si>
  <si>
    <t>业务类型</t>
  </si>
  <si>
    <t>地区</t>
  </si>
  <si>
    <t>项目/代投人名称</t>
  </si>
  <si>
    <t>有效数(粉/人)</t>
  </si>
  <si>
    <t>总支出/消耗</t>
  </si>
  <si>
    <t>实际收款</t>
  </si>
  <si>
    <t>项目毛利</t>
  </si>
  <si>
    <t>剩余预付款</t>
  </si>
  <si>
    <t>备注</t>
  </si>
  <si>
    <t>11月</t>
  </si>
  <si>
    <t>SZ</t>
  </si>
  <si>
    <t>自投项目</t>
  </si>
  <si>
    <t>德国</t>
  </si>
  <si>
    <t>德国Summer</t>
  </si>
  <si>
    <t>-</t>
  </si>
  <si>
    <t>外部代投</t>
  </si>
  <si>
    <t>日本</t>
  </si>
  <si>
    <t>岳总</t>
  </si>
  <si>
    <t>新加坡</t>
  </si>
  <si>
    <t>海总-新加坡、加拿大、美国</t>
  </si>
  <si>
    <t>海总-新加坡、加拿大、美国的预付款是一起的，11月结余合计5055</t>
  </si>
  <si>
    <t>加拿大</t>
  </si>
  <si>
    <t>美国</t>
  </si>
  <si>
    <t>马来</t>
  </si>
  <si>
    <t>B哥/马来英语粉</t>
  </si>
  <si>
    <t>B哥/马来英语粉11月预付款剩余20455</t>
  </si>
  <si>
    <t>印度</t>
  </si>
  <si>
    <t>印度K4/印度资金测试</t>
  </si>
  <si>
    <t>瑞典</t>
  </si>
  <si>
    <t>瑞典1梯队蟑螂哥渠道</t>
  </si>
  <si>
    <t>比利时</t>
  </si>
  <si>
    <t>海总-比利时单导测试</t>
  </si>
  <si>
    <t>ZZ</t>
  </si>
  <si>
    <t>印度资金测试</t>
  </si>
  <si>
    <t>12/8 收款20,000</t>
  </si>
  <si>
    <t>印尼</t>
  </si>
  <si>
    <t>印尼一期</t>
  </si>
  <si>
    <t>印尼二期</t>
  </si>
  <si>
    <t>印尼一期二期合计收款7000</t>
  </si>
  <si>
    <t>马来西亚</t>
  </si>
  <si>
    <t>B哥/马来英语粉11月预付款剩余20455，重复值</t>
  </si>
  <si>
    <t>尼日利亚</t>
  </si>
  <si>
    <t>德国单粉—summer FB180</t>
  </si>
  <si>
    <t>海总-新加坡、加拿大、美国的预付款是一起的，11月结余合计5055，重复值</t>
  </si>
  <si>
    <t>韩国</t>
  </si>
  <si>
    <t>A1韩国维权粉测试 服务费10%</t>
  </si>
  <si>
    <t>10月</t>
  </si>
  <si>
    <t>印度20期</t>
  </si>
  <si>
    <t>印度白马5期</t>
  </si>
  <si>
    <t>印度新K1</t>
  </si>
  <si>
    <t>印度K4</t>
  </si>
  <si>
    <t>印度K26</t>
  </si>
  <si>
    <t>B哥/马来英语粉10月预付款剩余33,355</t>
  </si>
  <si>
    <t>德国单粉—summer</t>
  </si>
  <si>
    <t>预付款已退清</t>
  </si>
  <si>
    <t>渠道106-本土fb🇯🇵</t>
  </si>
  <si>
    <t>渠道106-本土fb🇯🇵10月预付款剩余12060</t>
  </si>
  <si>
    <t>B哥/马来英语粉10月预付款剩余33,355，重复值</t>
  </si>
  <si>
    <t>员工工资成本</t>
  </si>
  <si>
    <t>运营杂费</t>
  </si>
  <si>
    <t>成本备注</t>
  </si>
  <si>
    <t>工资按上月结算，本月不计入。11月运营杂费含公司运营成本4,993.46、广告配套费用4162.9</t>
  </si>
  <si>
    <t>11月运营杂费含公司运营成本1939.72、广告配套费用6,641.69</t>
  </si>
  <si>
    <t>10月计提工资。10月运营杂费含公司运营成本4766.91、广告配套费用5663.34、</t>
  </si>
  <si>
    <t>10月运营杂费含公司运营成本1315.94、广告配套费用3512.05、</t>
  </si>
  <si>
    <t>项目总毛利</t>
  </si>
  <si>
    <t>(减) 工资成本</t>
  </si>
  <si>
    <t>(减) 运营杂费</t>
  </si>
  <si>
    <t>净利润</t>
  </si>
  <si>
    <t>SZ (10月利润-18075.66+11月利润10680.21)*0.4-印度谷歌（32）6144/2=-6,030.18</t>
  </si>
  <si>
    <t>ZZ(10月利润149065.69-11月利润9906.3)*0.1=13916</t>
  </si>
  <si>
    <t>-6,030.18+13915.939=7,885.76（公司欠LH）+864.994（WS垫付）=8,750.75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</si>
</sst>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rgb="FF1F1F1F"/>
      <name val="&quot;Google Sans Text&quot;"/>
    </font>
    <font>
      <color rgb="FF1F1F1F"/>
      <name val="&quot;Google Sans Text&quot;"/>
    </font>
    <font>
      <i/>
      <color rgb="FF1F1F1F"/>
      <name val="&quot;Google Sans Text&quot;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2" fontId="1" numFmtId="0" xfId="0" applyAlignment="1" applyFill="1" applyFont="1">
      <alignment readingOrder="0"/>
    </xf>
    <xf borderId="0" fillId="0" fontId="1" numFmtId="4" xfId="0" applyFont="1" applyNumberFormat="1"/>
    <xf borderId="0" fillId="0" fontId="1" numFmtId="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>
        <v>227.0</v>
      </c>
      <c r="G2" s="1">
        <v>22713.24</v>
      </c>
      <c r="H2" s="1">
        <v>40860.0</v>
      </c>
      <c r="I2" s="1">
        <f t="shared" ref="I2:I44" si="1">IF(H2="", "", H2-G2)</f>
        <v>18146.76</v>
      </c>
      <c r="J2" s="1" t="s">
        <v>16</v>
      </c>
      <c r="K2" s="1" t="s">
        <v>16</v>
      </c>
    </row>
    <row r="3">
      <c r="A3" s="1" t="s">
        <v>11</v>
      </c>
      <c r="B3" s="1" t="s">
        <v>12</v>
      </c>
      <c r="C3" s="1" t="s">
        <v>17</v>
      </c>
      <c r="D3" s="1" t="s">
        <v>18</v>
      </c>
      <c r="E3" s="1" t="s">
        <v>19</v>
      </c>
      <c r="F3" s="1">
        <v>205.0</v>
      </c>
      <c r="G3" s="1">
        <v>30750.0</v>
      </c>
      <c r="H3" s="1">
        <v>36900.0</v>
      </c>
      <c r="I3" s="1">
        <f t="shared" si="1"/>
        <v>6150</v>
      </c>
      <c r="J3" s="1">
        <v>0.0</v>
      </c>
      <c r="K3" s="1" t="s">
        <v>16</v>
      </c>
    </row>
    <row r="4">
      <c r="A4" s="1" t="s">
        <v>11</v>
      </c>
      <c r="B4" s="1" t="s">
        <v>12</v>
      </c>
      <c r="C4" s="1" t="s">
        <v>13</v>
      </c>
      <c r="D4" s="1" t="s">
        <v>20</v>
      </c>
      <c r="E4" s="1" t="s">
        <v>21</v>
      </c>
      <c r="F4" s="1">
        <v>1.0</v>
      </c>
      <c r="G4" s="1">
        <v>244.28</v>
      </c>
      <c r="H4" s="1">
        <v>100.0</v>
      </c>
      <c r="I4" s="1">
        <f t="shared" si="1"/>
        <v>-144.28</v>
      </c>
      <c r="J4" s="1">
        <v>5055.0</v>
      </c>
      <c r="K4" s="1" t="s">
        <v>22</v>
      </c>
    </row>
    <row r="5">
      <c r="A5" s="1" t="s">
        <v>11</v>
      </c>
      <c r="B5" s="1" t="s">
        <v>12</v>
      </c>
      <c r="C5" s="1" t="s">
        <v>13</v>
      </c>
      <c r="D5" s="1" t="s">
        <v>23</v>
      </c>
      <c r="E5" s="1" t="s">
        <v>21</v>
      </c>
      <c r="F5" s="1">
        <v>33.0</v>
      </c>
      <c r="G5" s="1">
        <v>6599.76</v>
      </c>
      <c r="H5" s="1">
        <v>3300.0</v>
      </c>
      <c r="I5" s="1">
        <f t="shared" si="1"/>
        <v>-3299.76</v>
      </c>
      <c r="J5" s="1">
        <v>0.0</v>
      </c>
    </row>
    <row r="6">
      <c r="A6" s="1" t="s">
        <v>11</v>
      </c>
      <c r="B6" s="1" t="s">
        <v>12</v>
      </c>
      <c r="C6" s="1" t="s">
        <v>13</v>
      </c>
      <c r="D6" s="1" t="s">
        <v>24</v>
      </c>
      <c r="E6" s="1" t="s">
        <v>21</v>
      </c>
      <c r="F6" s="1">
        <v>3.0</v>
      </c>
      <c r="G6" s="1">
        <v>93.96</v>
      </c>
      <c r="H6" s="1">
        <v>345.0</v>
      </c>
      <c r="I6" s="1">
        <f t="shared" si="1"/>
        <v>251.04</v>
      </c>
      <c r="J6" s="1">
        <v>0.0</v>
      </c>
    </row>
    <row r="7">
      <c r="A7" s="1" t="s">
        <v>11</v>
      </c>
      <c r="B7" s="1" t="s">
        <v>12</v>
      </c>
      <c r="C7" s="1" t="s">
        <v>13</v>
      </c>
      <c r="D7" s="1" t="s">
        <v>25</v>
      </c>
      <c r="E7" s="1" t="s">
        <v>26</v>
      </c>
      <c r="F7" s="1">
        <v>1.0</v>
      </c>
      <c r="G7" s="1">
        <v>1157.01</v>
      </c>
      <c r="H7" s="1">
        <v>95.0</v>
      </c>
      <c r="I7" s="1">
        <f t="shared" si="1"/>
        <v>-1062.01</v>
      </c>
      <c r="J7" s="1">
        <v>20455.0</v>
      </c>
      <c r="K7" s="1" t="s">
        <v>27</v>
      </c>
    </row>
    <row r="8">
      <c r="A8" s="1" t="s">
        <v>11</v>
      </c>
      <c r="B8" s="1" t="s">
        <v>12</v>
      </c>
      <c r="C8" s="1" t="s">
        <v>13</v>
      </c>
      <c r="D8" s="1" t="s">
        <v>28</v>
      </c>
      <c r="E8" s="1" t="s">
        <v>29</v>
      </c>
      <c r="F8" s="1">
        <v>0.0</v>
      </c>
      <c r="G8" s="1">
        <v>110.39</v>
      </c>
      <c r="H8" s="1">
        <v>0.0</v>
      </c>
      <c r="I8" s="1">
        <f t="shared" si="1"/>
        <v>-110.39</v>
      </c>
      <c r="J8" s="1">
        <v>0.0</v>
      </c>
    </row>
    <row r="9">
      <c r="A9" s="1" t="s">
        <v>11</v>
      </c>
      <c r="B9" s="1" t="s">
        <v>12</v>
      </c>
      <c r="C9" s="1" t="s">
        <v>13</v>
      </c>
      <c r="D9" s="1" t="s">
        <v>30</v>
      </c>
      <c r="E9" s="1" t="s">
        <v>31</v>
      </c>
      <c r="F9" s="1">
        <v>0.0</v>
      </c>
      <c r="G9" s="1">
        <v>67.43</v>
      </c>
      <c r="H9" s="1">
        <v>0.0</v>
      </c>
      <c r="I9" s="1">
        <f t="shared" si="1"/>
        <v>-67.43</v>
      </c>
      <c r="J9" s="1">
        <v>0.0</v>
      </c>
    </row>
    <row r="10">
      <c r="A10" s="1" t="s">
        <v>11</v>
      </c>
      <c r="B10" s="1" t="s">
        <v>12</v>
      </c>
      <c r="C10" s="1" t="s">
        <v>13</v>
      </c>
      <c r="D10" s="2" t="s">
        <v>32</v>
      </c>
      <c r="E10" s="1" t="s">
        <v>33</v>
      </c>
      <c r="F10" s="1">
        <v>0.0</v>
      </c>
      <c r="G10" s="1">
        <v>27.36</v>
      </c>
      <c r="H10" s="1">
        <v>0.0</v>
      </c>
      <c r="I10" s="1">
        <f t="shared" si="1"/>
        <v>-27.36</v>
      </c>
      <c r="J10" s="1">
        <v>0.0</v>
      </c>
    </row>
    <row r="11">
      <c r="A11" s="1" t="s">
        <v>11</v>
      </c>
      <c r="B11" s="1" t="s">
        <v>34</v>
      </c>
      <c r="C11" s="1" t="s">
        <v>13</v>
      </c>
      <c r="D11" s="1" t="s">
        <v>28</v>
      </c>
      <c r="E11" s="1" t="s">
        <v>35</v>
      </c>
      <c r="F11" s="1">
        <v>121.0</v>
      </c>
      <c r="G11" s="1">
        <v>4129.82</v>
      </c>
      <c r="H11" s="3">
        <v>0.0</v>
      </c>
      <c r="I11" s="1">
        <f t="shared" si="1"/>
        <v>-4129.82</v>
      </c>
      <c r="J11" s="1">
        <v>0.0</v>
      </c>
      <c r="K11" s="1" t="s">
        <v>36</v>
      </c>
    </row>
    <row r="12">
      <c r="A12" s="1" t="s">
        <v>11</v>
      </c>
      <c r="B12" s="1" t="s">
        <v>34</v>
      </c>
      <c r="C12" s="1" t="s">
        <v>13</v>
      </c>
      <c r="D12" s="1" t="s">
        <v>37</v>
      </c>
      <c r="E12" s="2" t="s">
        <v>38</v>
      </c>
      <c r="F12" s="1">
        <v>0.0</v>
      </c>
      <c r="G12" s="1">
        <v>0.0</v>
      </c>
      <c r="H12" s="1">
        <v>0.0</v>
      </c>
      <c r="I12" s="1">
        <f t="shared" si="1"/>
        <v>0</v>
      </c>
      <c r="J12" s="1">
        <v>0.0</v>
      </c>
    </row>
    <row r="13">
      <c r="A13" s="1" t="s">
        <v>11</v>
      </c>
      <c r="B13" s="1" t="s">
        <v>34</v>
      </c>
      <c r="C13" s="1" t="s">
        <v>13</v>
      </c>
      <c r="D13" s="1" t="s">
        <v>37</v>
      </c>
      <c r="E13" s="2" t="s">
        <v>39</v>
      </c>
      <c r="F13" s="1">
        <v>156.0</v>
      </c>
      <c r="G13" s="1">
        <v>6653.77</v>
      </c>
      <c r="H13" s="1">
        <v>7000.0</v>
      </c>
      <c r="I13" s="1">
        <f t="shared" si="1"/>
        <v>346.23</v>
      </c>
      <c r="J13" s="1">
        <v>0.0</v>
      </c>
      <c r="K13" s="1" t="s">
        <v>40</v>
      </c>
    </row>
    <row r="14">
      <c r="A14" s="1" t="s">
        <v>11</v>
      </c>
      <c r="B14" s="1" t="s">
        <v>34</v>
      </c>
      <c r="C14" s="1" t="s">
        <v>13</v>
      </c>
      <c r="D14" s="2" t="s">
        <v>41</v>
      </c>
      <c r="E14" s="2" t="s">
        <v>26</v>
      </c>
      <c r="F14" s="2">
        <v>128.0</v>
      </c>
      <c r="G14" s="1">
        <v>5797.11</v>
      </c>
      <c r="H14" s="1">
        <v>12160.0</v>
      </c>
      <c r="I14" s="1">
        <f t="shared" si="1"/>
        <v>6362.89</v>
      </c>
      <c r="J14" s="1">
        <f>J7</f>
        <v>20455</v>
      </c>
      <c r="K14" s="1" t="s">
        <v>42</v>
      </c>
    </row>
    <row r="15">
      <c r="A15" s="1" t="s">
        <v>11</v>
      </c>
      <c r="B15" s="1" t="s">
        <v>34</v>
      </c>
      <c r="C15" s="1" t="s">
        <v>13</v>
      </c>
      <c r="D15" s="2" t="s">
        <v>43</v>
      </c>
      <c r="E15" s="2" t="s">
        <v>43</v>
      </c>
      <c r="F15" s="2">
        <v>0.0</v>
      </c>
      <c r="G15" s="1">
        <v>4277.75</v>
      </c>
      <c r="H15" s="1">
        <v>5768.9</v>
      </c>
      <c r="I15" s="1">
        <f t="shared" si="1"/>
        <v>1491.15</v>
      </c>
      <c r="J15" s="1">
        <v>0.0</v>
      </c>
    </row>
    <row r="16">
      <c r="A16" s="1" t="s">
        <v>11</v>
      </c>
      <c r="B16" s="1" t="s">
        <v>34</v>
      </c>
      <c r="C16" s="1" t="s">
        <v>13</v>
      </c>
      <c r="D16" s="2" t="s">
        <v>14</v>
      </c>
      <c r="E16" s="2" t="s">
        <v>44</v>
      </c>
      <c r="F16" s="2">
        <v>0.0</v>
      </c>
      <c r="G16" s="1">
        <v>24.26</v>
      </c>
      <c r="H16" s="1">
        <v>0.0</v>
      </c>
      <c r="I16" s="1">
        <f t="shared" si="1"/>
        <v>-24.26</v>
      </c>
      <c r="J16" s="1">
        <v>0.0</v>
      </c>
    </row>
    <row r="17">
      <c r="A17" s="1" t="s">
        <v>11</v>
      </c>
      <c r="B17" s="1" t="s">
        <v>34</v>
      </c>
      <c r="C17" s="1" t="s">
        <v>13</v>
      </c>
      <c r="D17" s="2" t="s">
        <v>20</v>
      </c>
      <c r="E17" s="2" t="s">
        <v>21</v>
      </c>
      <c r="F17" s="2">
        <v>15.0</v>
      </c>
      <c r="G17" s="1">
        <v>464.5</v>
      </c>
      <c r="H17" s="1">
        <v>1500.0</v>
      </c>
      <c r="I17" s="1">
        <f t="shared" si="1"/>
        <v>1035.5</v>
      </c>
      <c r="J17" s="2">
        <f>J4</f>
        <v>5055</v>
      </c>
      <c r="K17" s="1" t="s">
        <v>45</v>
      </c>
    </row>
    <row r="18">
      <c r="A18" s="1" t="s">
        <v>11</v>
      </c>
      <c r="B18" s="1" t="s">
        <v>34</v>
      </c>
      <c r="C18" s="1" t="s">
        <v>13</v>
      </c>
      <c r="D18" s="2" t="s">
        <v>30</v>
      </c>
      <c r="E18" s="2" t="s">
        <v>31</v>
      </c>
      <c r="F18" s="2">
        <v>38.0</v>
      </c>
      <c r="G18" s="1">
        <v>9652.06</v>
      </c>
      <c r="H18" s="1">
        <v>3420.0</v>
      </c>
      <c r="I18" s="1">
        <f t="shared" si="1"/>
        <v>-6232.06</v>
      </c>
      <c r="J18" s="1">
        <v>0.0</v>
      </c>
    </row>
    <row r="19">
      <c r="A19" s="1" t="s">
        <v>11</v>
      </c>
      <c r="B19" s="1" t="s">
        <v>34</v>
      </c>
      <c r="C19" s="1" t="s">
        <v>13</v>
      </c>
      <c r="D19" s="2" t="s">
        <v>46</v>
      </c>
      <c r="E19" s="2" t="s">
        <v>47</v>
      </c>
      <c r="F19" s="2">
        <v>0.0</v>
      </c>
      <c r="G19" s="1">
        <v>174.52</v>
      </c>
      <c r="H19" s="1">
        <v>0.0</v>
      </c>
      <c r="I19" s="1">
        <f t="shared" si="1"/>
        <v>-174.52</v>
      </c>
      <c r="J19" s="1">
        <v>0.0</v>
      </c>
    </row>
    <row r="20">
      <c r="A20" s="1" t="s">
        <v>48</v>
      </c>
      <c r="B20" s="1" t="s">
        <v>34</v>
      </c>
      <c r="C20" s="1" t="s">
        <v>13</v>
      </c>
      <c r="D20" s="2" t="s">
        <v>28</v>
      </c>
      <c r="E20" s="2" t="s">
        <v>49</v>
      </c>
      <c r="F20" s="2">
        <v>2829.0</v>
      </c>
      <c r="G20" s="4">
        <f t="shared" ref="G20:G23" si="2">20.5375*F20</f>
        <v>58100.5875</v>
      </c>
      <c r="H20" s="2">
        <f t="shared" ref="H20:H24" si="3">F20*31</f>
        <v>87699</v>
      </c>
      <c r="I20" s="5">
        <f t="shared" si="1"/>
        <v>29598.4125</v>
      </c>
      <c r="J20" s="1">
        <v>0.0</v>
      </c>
    </row>
    <row r="21">
      <c r="A21" s="1" t="s">
        <v>48</v>
      </c>
      <c r="B21" s="1" t="s">
        <v>34</v>
      </c>
      <c r="C21" s="1" t="s">
        <v>13</v>
      </c>
      <c r="D21" s="2" t="s">
        <v>28</v>
      </c>
      <c r="E21" s="2" t="s">
        <v>50</v>
      </c>
      <c r="F21" s="2">
        <v>1500.0</v>
      </c>
      <c r="G21" s="4">
        <f t="shared" si="2"/>
        <v>30806.25</v>
      </c>
      <c r="H21" s="2">
        <f t="shared" si="3"/>
        <v>46500</v>
      </c>
      <c r="I21" s="5">
        <f t="shared" si="1"/>
        <v>15693.75</v>
      </c>
      <c r="J21" s="1">
        <v>0.0</v>
      </c>
    </row>
    <row r="22">
      <c r="A22" s="1" t="s">
        <v>48</v>
      </c>
      <c r="B22" s="1" t="s">
        <v>34</v>
      </c>
      <c r="C22" s="1" t="s">
        <v>13</v>
      </c>
      <c r="D22" s="2" t="s">
        <v>28</v>
      </c>
      <c r="E22" s="2" t="s">
        <v>51</v>
      </c>
      <c r="F22" s="2">
        <v>5274.0</v>
      </c>
      <c r="G22" s="4">
        <f t="shared" si="2"/>
        <v>108314.775</v>
      </c>
      <c r="H22" s="2">
        <f t="shared" si="3"/>
        <v>163494</v>
      </c>
      <c r="I22" s="5">
        <f t="shared" si="1"/>
        <v>55179.225</v>
      </c>
      <c r="J22" s="1">
        <v>0.0</v>
      </c>
    </row>
    <row r="23">
      <c r="A23" s="1" t="s">
        <v>48</v>
      </c>
      <c r="B23" s="1" t="s">
        <v>34</v>
      </c>
      <c r="C23" s="1" t="s">
        <v>13</v>
      </c>
      <c r="D23" s="2" t="s">
        <v>28</v>
      </c>
      <c r="E23" s="2" t="s">
        <v>52</v>
      </c>
      <c r="F23" s="2">
        <v>4226.0</v>
      </c>
      <c r="G23" s="4">
        <f t="shared" si="2"/>
        <v>86791.475</v>
      </c>
      <c r="H23" s="2">
        <f t="shared" si="3"/>
        <v>131006</v>
      </c>
      <c r="I23" s="5">
        <f t="shared" si="1"/>
        <v>44214.525</v>
      </c>
      <c r="J23" s="1">
        <v>0.0</v>
      </c>
    </row>
    <row r="24">
      <c r="A24" s="1" t="s">
        <v>48</v>
      </c>
      <c r="B24" s="1" t="s">
        <v>34</v>
      </c>
      <c r="C24" s="1" t="s">
        <v>13</v>
      </c>
      <c r="D24" s="2" t="s">
        <v>28</v>
      </c>
      <c r="E24" s="2" t="s">
        <v>53</v>
      </c>
      <c r="F24" s="2">
        <v>4644.0</v>
      </c>
      <c r="G24" s="4">
        <f>20.5375*F24+0.03</f>
        <v>95376.18</v>
      </c>
      <c r="H24" s="2">
        <f t="shared" si="3"/>
        <v>143964</v>
      </c>
      <c r="I24" s="5">
        <f t="shared" si="1"/>
        <v>48587.82</v>
      </c>
      <c r="J24" s="1">
        <v>0.0</v>
      </c>
    </row>
    <row r="25">
      <c r="A25" s="1" t="s">
        <v>48</v>
      </c>
      <c r="B25" s="1" t="s">
        <v>34</v>
      </c>
      <c r="C25" s="1" t="s">
        <v>13</v>
      </c>
      <c r="D25" s="2" t="s">
        <v>41</v>
      </c>
      <c r="E25" s="2" t="s">
        <v>26</v>
      </c>
      <c r="F25" s="2">
        <v>94.0</v>
      </c>
      <c r="G25" s="1">
        <v>4885.78025252381</v>
      </c>
      <c r="H25" s="1">
        <v>8930.0</v>
      </c>
      <c r="I25" s="5">
        <f t="shared" si="1"/>
        <v>4044.219747</v>
      </c>
      <c r="J25" s="6">
        <v>33355.0</v>
      </c>
      <c r="K25" s="1" t="s">
        <v>54</v>
      </c>
    </row>
    <row r="26">
      <c r="A26" s="1" t="s">
        <v>48</v>
      </c>
      <c r="B26" s="1" t="s">
        <v>34</v>
      </c>
      <c r="C26" s="1" t="s">
        <v>13</v>
      </c>
      <c r="D26" s="2" t="s">
        <v>14</v>
      </c>
      <c r="E26" s="2" t="s">
        <v>55</v>
      </c>
      <c r="F26" s="2">
        <v>10.0</v>
      </c>
      <c r="G26" s="1">
        <v>1918.26</v>
      </c>
      <c r="H26" s="1">
        <v>1800.0</v>
      </c>
      <c r="I26" s="5">
        <f t="shared" si="1"/>
        <v>-118.26</v>
      </c>
      <c r="J26" s="1">
        <v>0.0</v>
      </c>
      <c r="K26" s="1" t="s">
        <v>56</v>
      </c>
    </row>
    <row r="27">
      <c r="A27" s="1" t="s">
        <v>48</v>
      </c>
      <c r="B27" s="1" t="s">
        <v>34</v>
      </c>
      <c r="C27" s="1" t="s">
        <v>13</v>
      </c>
      <c r="D27" s="2" t="s">
        <v>46</v>
      </c>
      <c r="E27" s="1" t="s">
        <v>47</v>
      </c>
      <c r="F27" s="1">
        <v>0.0</v>
      </c>
      <c r="G27" s="1">
        <v>1685.08</v>
      </c>
      <c r="H27" s="1">
        <v>0.0</v>
      </c>
      <c r="I27" s="5">
        <f t="shared" si="1"/>
        <v>-1685.08</v>
      </c>
      <c r="J27" s="1">
        <v>0.0</v>
      </c>
    </row>
    <row r="28">
      <c r="A28" s="1" t="s">
        <v>48</v>
      </c>
      <c r="B28" s="1" t="s">
        <v>34</v>
      </c>
      <c r="C28" s="1" t="s">
        <v>13</v>
      </c>
      <c r="D28" s="2" t="s">
        <v>18</v>
      </c>
      <c r="E28" s="1" t="s">
        <v>57</v>
      </c>
      <c r="F28" s="1">
        <v>0.0</v>
      </c>
      <c r="G28" s="1">
        <v>0.0</v>
      </c>
      <c r="H28" s="1">
        <v>0.0</v>
      </c>
      <c r="I28" s="5">
        <f t="shared" si="1"/>
        <v>0</v>
      </c>
      <c r="J28" s="1">
        <v>0.0</v>
      </c>
    </row>
    <row r="29">
      <c r="A29" s="1" t="s">
        <v>48</v>
      </c>
      <c r="B29" s="1" t="s">
        <v>34</v>
      </c>
      <c r="C29" s="1" t="s">
        <v>13</v>
      </c>
      <c r="D29" s="2" t="s">
        <v>43</v>
      </c>
      <c r="E29" s="2" t="s">
        <v>43</v>
      </c>
      <c r="F29" s="1">
        <v>0.0</v>
      </c>
      <c r="G29" s="1">
        <v>488.3</v>
      </c>
      <c r="H29" s="1">
        <v>0.0</v>
      </c>
      <c r="I29" s="5">
        <f t="shared" si="1"/>
        <v>-488.3</v>
      </c>
      <c r="J29" s="6">
        <v>12060.0</v>
      </c>
      <c r="K29" s="6" t="s">
        <v>58</v>
      </c>
    </row>
    <row r="30">
      <c r="A30" s="1" t="s">
        <v>48</v>
      </c>
      <c r="B30" s="1" t="s">
        <v>34</v>
      </c>
      <c r="C30" s="1" t="s">
        <v>13</v>
      </c>
      <c r="D30" s="2" t="s">
        <v>32</v>
      </c>
      <c r="E30" s="1" t="s">
        <v>33</v>
      </c>
      <c r="F30" s="1">
        <v>0.0</v>
      </c>
      <c r="G30" s="1">
        <v>608.69</v>
      </c>
      <c r="H30" s="1">
        <v>0.0</v>
      </c>
      <c r="I30" s="5">
        <f t="shared" si="1"/>
        <v>-608.69</v>
      </c>
      <c r="J30" s="1">
        <v>0.0</v>
      </c>
    </row>
    <row r="31">
      <c r="A31" s="1" t="s">
        <v>48</v>
      </c>
      <c r="B31" s="1" t="s">
        <v>12</v>
      </c>
      <c r="C31" s="1" t="s">
        <v>17</v>
      </c>
      <c r="D31" s="1" t="s">
        <v>18</v>
      </c>
      <c r="E31" s="1" t="s">
        <v>19</v>
      </c>
      <c r="F31" s="1">
        <v>164.0</v>
      </c>
      <c r="G31" s="1">
        <f>F31*150</f>
        <v>24600</v>
      </c>
      <c r="H31" s="2">
        <f>165*180</f>
        <v>29700</v>
      </c>
      <c r="I31" s="5">
        <f t="shared" si="1"/>
        <v>5100</v>
      </c>
      <c r="J31" s="1">
        <v>0.0</v>
      </c>
    </row>
    <row r="32">
      <c r="A32" s="1" t="s">
        <v>48</v>
      </c>
      <c r="B32" s="1" t="s">
        <v>12</v>
      </c>
      <c r="C32" s="1" t="s">
        <v>13</v>
      </c>
      <c r="D32" s="2" t="s">
        <v>28</v>
      </c>
      <c r="E32" s="2" t="s">
        <v>49</v>
      </c>
      <c r="F32" s="2">
        <v>30.0</v>
      </c>
      <c r="G32" s="5">
        <f t="shared" ref="G32:G36" si="4">F32*60.2389</f>
        <v>1807.167</v>
      </c>
      <c r="H32" s="2">
        <f t="shared" ref="H32:H36" si="5">F32*31</f>
        <v>930</v>
      </c>
      <c r="I32" s="5">
        <f t="shared" si="1"/>
        <v>-877.167</v>
      </c>
      <c r="J32" s="1">
        <v>0.0</v>
      </c>
    </row>
    <row r="33">
      <c r="A33" s="1" t="s">
        <v>48</v>
      </c>
      <c r="B33" s="1" t="s">
        <v>12</v>
      </c>
      <c r="C33" s="1" t="s">
        <v>13</v>
      </c>
      <c r="D33" s="2" t="s">
        <v>28</v>
      </c>
      <c r="E33" s="2" t="s">
        <v>50</v>
      </c>
      <c r="F33" s="2">
        <v>0.0</v>
      </c>
      <c r="G33" s="5">
        <f t="shared" si="4"/>
        <v>0</v>
      </c>
      <c r="H33" s="2">
        <f t="shared" si="5"/>
        <v>0</v>
      </c>
      <c r="I33" s="5">
        <f t="shared" si="1"/>
        <v>0</v>
      </c>
      <c r="J33" s="1">
        <v>0.0</v>
      </c>
    </row>
    <row r="34">
      <c r="A34" s="1" t="s">
        <v>48</v>
      </c>
      <c r="B34" s="1" t="s">
        <v>12</v>
      </c>
      <c r="C34" s="1" t="s">
        <v>13</v>
      </c>
      <c r="D34" s="2" t="s">
        <v>28</v>
      </c>
      <c r="E34" s="2" t="s">
        <v>51</v>
      </c>
      <c r="F34" s="2">
        <v>0.0</v>
      </c>
      <c r="G34" s="5">
        <f t="shared" si="4"/>
        <v>0</v>
      </c>
      <c r="H34" s="2">
        <f t="shared" si="5"/>
        <v>0</v>
      </c>
      <c r="I34" s="5">
        <f t="shared" si="1"/>
        <v>0</v>
      </c>
      <c r="J34" s="1">
        <v>0.0</v>
      </c>
    </row>
    <row r="35">
      <c r="A35" s="1" t="s">
        <v>48</v>
      </c>
      <c r="B35" s="1" t="s">
        <v>12</v>
      </c>
      <c r="C35" s="1" t="s">
        <v>13</v>
      </c>
      <c r="D35" s="2" t="s">
        <v>28</v>
      </c>
      <c r="E35" s="2" t="s">
        <v>52</v>
      </c>
      <c r="F35" s="2">
        <v>131.0</v>
      </c>
      <c r="G35" s="5">
        <f t="shared" si="4"/>
        <v>7891.2959</v>
      </c>
      <c r="H35" s="2">
        <f t="shared" si="5"/>
        <v>4061</v>
      </c>
      <c r="I35" s="5">
        <f t="shared" si="1"/>
        <v>-3830.2959</v>
      </c>
      <c r="J35" s="1">
        <v>0.0</v>
      </c>
    </row>
    <row r="36">
      <c r="A36" s="1" t="s">
        <v>48</v>
      </c>
      <c r="B36" s="1" t="s">
        <v>12</v>
      </c>
      <c r="C36" s="1" t="s">
        <v>13</v>
      </c>
      <c r="D36" s="2" t="s">
        <v>28</v>
      </c>
      <c r="E36" s="2" t="s">
        <v>53</v>
      </c>
      <c r="F36" s="2">
        <v>8.0</v>
      </c>
      <c r="G36" s="5">
        <f t="shared" si="4"/>
        <v>481.9112</v>
      </c>
      <c r="H36" s="2">
        <f t="shared" si="5"/>
        <v>248</v>
      </c>
      <c r="I36" s="5">
        <f t="shared" si="1"/>
        <v>-233.9112</v>
      </c>
      <c r="J36" s="1">
        <v>0.0</v>
      </c>
    </row>
    <row r="37">
      <c r="A37" s="1" t="s">
        <v>48</v>
      </c>
      <c r="B37" s="1" t="s">
        <v>12</v>
      </c>
      <c r="C37" s="1" t="s">
        <v>13</v>
      </c>
      <c r="D37" s="2" t="s">
        <v>41</v>
      </c>
      <c r="E37" s="2" t="s">
        <v>26</v>
      </c>
      <c r="F37" s="2">
        <v>90.0</v>
      </c>
      <c r="G37" s="5">
        <v>8953.16</v>
      </c>
      <c r="H37" s="1">
        <v>8550.0</v>
      </c>
      <c r="I37" s="5">
        <f t="shared" si="1"/>
        <v>-403.16</v>
      </c>
      <c r="J37" s="6">
        <v>33355.0</v>
      </c>
      <c r="K37" s="1" t="s">
        <v>59</v>
      </c>
    </row>
    <row r="38">
      <c r="A38" s="1" t="s">
        <v>48</v>
      </c>
      <c r="B38" s="1" t="s">
        <v>12</v>
      </c>
      <c r="C38" s="1" t="s">
        <v>13</v>
      </c>
      <c r="D38" s="2" t="s">
        <v>18</v>
      </c>
      <c r="E38" s="2" t="s">
        <v>57</v>
      </c>
      <c r="F38" s="2">
        <v>0.0</v>
      </c>
      <c r="G38" s="5">
        <v>0.0</v>
      </c>
      <c r="H38" s="1">
        <v>0.0</v>
      </c>
      <c r="I38" s="5">
        <f t="shared" si="1"/>
        <v>0</v>
      </c>
      <c r="J38" s="1">
        <v>0.0</v>
      </c>
    </row>
    <row r="39">
      <c r="A39" s="1" t="s">
        <v>48</v>
      </c>
      <c r="B39" s="1" t="s">
        <v>12</v>
      </c>
      <c r="C39" s="1" t="s">
        <v>13</v>
      </c>
      <c r="D39" s="2" t="s">
        <v>14</v>
      </c>
      <c r="E39" s="2" t="s">
        <v>55</v>
      </c>
      <c r="F39" s="2">
        <v>0.0</v>
      </c>
      <c r="G39" s="5">
        <v>0.0</v>
      </c>
      <c r="H39" s="1">
        <v>0.0</v>
      </c>
      <c r="I39" s="5">
        <f t="shared" si="1"/>
        <v>0</v>
      </c>
      <c r="J39" s="1">
        <v>0.0</v>
      </c>
    </row>
    <row r="40">
      <c r="A40" s="1" t="s">
        <v>48</v>
      </c>
      <c r="B40" s="1" t="s">
        <v>12</v>
      </c>
      <c r="C40" s="1" t="s">
        <v>13</v>
      </c>
      <c r="D40" s="2" t="s">
        <v>32</v>
      </c>
      <c r="E40" s="2" t="s">
        <v>33</v>
      </c>
      <c r="F40" s="2">
        <v>0.0</v>
      </c>
      <c r="G40" s="5">
        <v>137.09</v>
      </c>
      <c r="H40" s="1">
        <v>0.0</v>
      </c>
      <c r="I40" s="5">
        <f t="shared" si="1"/>
        <v>-137.09</v>
      </c>
      <c r="J40" s="1">
        <v>0.0</v>
      </c>
    </row>
    <row r="41">
      <c r="I41" s="5" t="str">
        <f t="shared" si="1"/>
        <v/>
      </c>
    </row>
    <row r="42">
      <c r="I42" s="5" t="str">
        <f t="shared" si="1"/>
        <v/>
      </c>
    </row>
    <row r="43">
      <c r="I43" s="5" t="str">
        <f t="shared" si="1"/>
        <v/>
      </c>
    </row>
    <row r="44">
      <c r="I44" s="5" t="str">
        <f t="shared" si="1"/>
        <v/>
      </c>
    </row>
    <row r="45">
      <c r="I45" s="5"/>
    </row>
    <row r="46">
      <c r="I46" s="5"/>
    </row>
    <row r="47">
      <c r="I47" s="5"/>
    </row>
    <row r="48">
      <c r="I48" s="5"/>
    </row>
    <row r="49">
      <c r="I49" s="5"/>
    </row>
    <row r="50">
      <c r="I50" s="5"/>
    </row>
    <row r="51">
      <c r="I51" s="5"/>
    </row>
    <row r="52">
      <c r="I52" s="5"/>
    </row>
    <row r="53">
      <c r="I53" s="5"/>
    </row>
    <row r="54">
      <c r="I54" s="5"/>
    </row>
    <row r="55">
      <c r="I55" s="5"/>
    </row>
    <row r="59">
      <c r="I59" s="2">
        <f>SUM(I2:I58)</f>
        <v>212547.6781</v>
      </c>
    </row>
    <row r="60">
      <c r="I60" s="2">
        <f>SUM(I2:I59)</f>
        <v>425095.3563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0</v>
      </c>
      <c r="B1" s="7" t="s">
        <v>1</v>
      </c>
      <c r="C1" s="7" t="s">
        <v>60</v>
      </c>
      <c r="D1" s="7" t="s">
        <v>61</v>
      </c>
      <c r="E1" s="7" t="s">
        <v>62</v>
      </c>
    </row>
    <row r="2">
      <c r="A2" s="8" t="s">
        <v>11</v>
      </c>
      <c r="B2" s="8" t="s">
        <v>12</v>
      </c>
      <c r="C2" s="8">
        <v>0.0</v>
      </c>
      <c r="D2" s="9">
        <f>4993.46+4162.9</f>
        <v>9156.36</v>
      </c>
      <c r="E2" s="8" t="s">
        <v>63</v>
      </c>
    </row>
    <row r="3">
      <c r="A3" s="8" t="s">
        <v>11</v>
      </c>
      <c r="B3" s="8" t="s">
        <v>34</v>
      </c>
      <c r="C3" s="8">
        <v>0.0</v>
      </c>
      <c r="D3" s="8">
        <f>1939.72+6641.69</f>
        <v>8581.41</v>
      </c>
      <c r="E3" s="8" t="s">
        <v>64</v>
      </c>
    </row>
    <row r="4">
      <c r="A4" s="8" t="s">
        <v>48</v>
      </c>
      <c r="B4" s="8" t="s">
        <v>12</v>
      </c>
      <c r="C4" s="8">
        <v>7263.79</v>
      </c>
      <c r="D4" s="8">
        <f>4766.91+5663.34</f>
        <v>10430.25</v>
      </c>
      <c r="E4" s="8" t="s">
        <v>65</v>
      </c>
    </row>
    <row r="5">
      <c r="A5" s="8" t="s">
        <v>48</v>
      </c>
      <c r="B5" s="1" t="s">
        <v>34</v>
      </c>
      <c r="C5" s="2">
        <v>40523.94</v>
      </c>
      <c r="D5" s="8">
        <f>1315.94+3512.05</f>
        <v>4827.99</v>
      </c>
      <c r="E5" s="1" t="s">
        <v>66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0"/>
    <col customWidth="1" min="4" max="4" width="21.5"/>
  </cols>
  <sheetData>
    <row r="1">
      <c r="A1" s="7" t="s">
        <v>0</v>
      </c>
      <c r="B1" s="7" t="s">
        <v>1</v>
      </c>
      <c r="C1" s="7" t="s">
        <v>67</v>
      </c>
      <c r="D1" s="7" t="s">
        <v>68</v>
      </c>
      <c r="E1" s="7" t="s">
        <v>69</v>
      </c>
      <c r="F1" s="7" t="s">
        <v>70</v>
      </c>
    </row>
    <row r="2">
      <c r="A2" s="8" t="s">
        <v>11</v>
      </c>
      <c r="B2" s="8" t="s">
        <v>12</v>
      </c>
      <c r="C2" s="10">
        <f>SUMIFS('明细表'!$I:$I, '明细表'!$A:$A, $A2, '明细表'!$B:$B, $B2)</f>
        <v>19836.57</v>
      </c>
      <c r="D2" s="11">
        <f>SUMIFS('成本表'!$C:$C, '成本表'!$A:$A, $A2, '成本表'!$B:$B, $B2)</f>
        <v>0</v>
      </c>
      <c r="E2" s="11">
        <f>SUMIFS('成本表'!$D:$D, '成本表'!$A:$A, $A2, '成本表'!$B:$B, $B2)</f>
        <v>9156.36</v>
      </c>
      <c r="F2" s="10">
        <f t="shared" ref="F2:F5" si="1">C2 - D2 - E2</f>
        <v>10680.21</v>
      </c>
      <c r="H2" s="1" t="s">
        <v>71</v>
      </c>
    </row>
    <row r="3">
      <c r="A3" s="8" t="s">
        <v>11</v>
      </c>
      <c r="B3" s="8" t="s">
        <v>34</v>
      </c>
      <c r="C3" s="10">
        <f>SUMIFS('明细表'!$I:$I, '明细表'!$A:$A, $A3, '明细表'!$B:$B, $B3)</f>
        <v>-1324.89</v>
      </c>
      <c r="D3" s="11">
        <f>SUMIFS('成本表'!$C:$C, '成本表'!$A:$A, $A3, '成本表'!$B:$B, $B3)</f>
        <v>0</v>
      </c>
      <c r="E3" s="11">
        <f>SUMIFS('成本表'!$D:$D, '成本表'!$A:$A, $A3, '成本表'!$B:$B, $B3)</f>
        <v>8581.41</v>
      </c>
      <c r="F3" s="10">
        <f t="shared" si="1"/>
        <v>-9906.3</v>
      </c>
      <c r="H3" s="1" t="s">
        <v>72</v>
      </c>
    </row>
    <row r="4">
      <c r="A4" s="8" t="s">
        <v>48</v>
      </c>
      <c r="B4" s="8" t="s">
        <v>12</v>
      </c>
      <c r="C4" s="10">
        <f>SUMIFS('明细表'!$I:$I, '明细表'!$A:$A, $A4, '明细表'!$B:$B, $B4)</f>
        <v>-381.6241</v>
      </c>
      <c r="D4" s="11">
        <f>SUMIFS('成本表'!$C:$C, '成本表'!$A:$A, $A4, '成本表'!$B:$B, $B4)</f>
        <v>7263.79</v>
      </c>
      <c r="E4" s="11">
        <f>SUMIFS('成本表'!$D:$D, '成本表'!$A:$A, $A4, '成本表'!$B:$B, $B4)</f>
        <v>10430.25</v>
      </c>
      <c r="F4" s="10">
        <f t="shared" si="1"/>
        <v>-18075.6641</v>
      </c>
      <c r="H4" s="1" t="s">
        <v>73</v>
      </c>
    </row>
    <row r="5">
      <c r="A5" s="8" t="s">
        <v>48</v>
      </c>
      <c r="B5" s="8" t="s">
        <v>34</v>
      </c>
      <c r="C5" s="10">
        <f>SUMIFS('明细表'!$I:$I, '明细表'!$A:$A, $A5, '明细表'!$B:$B, $B5)</f>
        <v>194417.6222</v>
      </c>
      <c r="D5" s="11">
        <f>SUMIFS('成本表'!$C:$C, '成本表'!$A:$A, $A5, '成本表'!$B:$B, $B5)</f>
        <v>40523.94</v>
      </c>
      <c r="E5" s="11">
        <f>SUMIFS('成本表'!$D:$D, '成本表'!$A:$A, $A5, '成本表'!$B:$B, $B5)</f>
        <v>4827.99</v>
      </c>
      <c r="F5" s="10">
        <f t="shared" si="1"/>
        <v>149065.6922</v>
      </c>
    </row>
    <row r="6">
      <c r="A6" s="8"/>
      <c r="B6" s="8"/>
      <c r="C6" s="11"/>
      <c r="D6" s="11"/>
      <c r="E6" s="11"/>
      <c r="F6" s="11"/>
    </row>
    <row r="7">
      <c r="C7" s="11"/>
      <c r="D7" s="11"/>
      <c r="E7" s="11"/>
      <c r="F7" s="11"/>
    </row>
    <row r="13">
      <c r="I13" s="5"/>
    </row>
  </sheetData>
  <drawing r:id="rId1"/>
</worksheet>
</file>